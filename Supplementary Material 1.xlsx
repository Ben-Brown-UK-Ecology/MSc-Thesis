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b484_exeter_ac_uk/Documents/Masters/2025-26 Work/Research Project/Supplementary Materials/"/>
    </mc:Choice>
  </mc:AlternateContent>
  <xr:revisionPtr revIDLastSave="0" documentId="8_{292DF63E-89A4-4F59-9089-0D4CE82E2F9C}" xr6:coauthVersionLast="47" xr6:coauthVersionMax="47" xr10:uidLastSave="{00000000-0000-0000-0000-000000000000}"/>
  <bookViews>
    <workbookView xWindow="-25710" yWindow="-2440" windowWidth="25820" windowHeight="13900" xr2:uid="{B0A7564E-0891-4B4C-9E07-564BE474C8E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1" l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3" i="1"/>
  <c r="B11" i="1"/>
  <c r="B10" i="1"/>
  <c r="B2" i="1"/>
</calcChain>
</file>

<file path=xl/sharedStrings.xml><?xml version="1.0" encoding="utf-8"?>
<sst xmlns="http://schemas.openxmlformats.org/spreadsheetml/2006/main" count="89" uniqueCount="51">
  <si>
    <t>Island</t>
  </si>
  <si>
    <t>Barra and Vatersay</t>
  </si>
  <si>
    <t>Coll</t>
  </si>
  <si>
    <t>Tiree</t>
  </si>
  <si>
    <t>Iona</t>
  </si>
  <si>
    <t>Lunga</t>
  </si>
  <si>
    <t>Summer Isles</t>
  </si>
  <si>
    <t>Canna</t>
  </si>
  <si>
    <t>Kerrera</t>
  </si>
  <si>
    <t>Uists</t>
  </si>
  <si>
    <t>Lewis, Harris and Scalpay</t>
  </si>
  <si>
    <t>St Kilda</t>
  </si>
  <si>
    <t>Muck</t>
  </si>
  <si>
    <t>Luing</t>
  </si>
  <si>
    <t>Rum</t>
  </si>
  <si>
    <t>Lismore</t>
  </si>
  <si>
    <t>Scarba</t>
  </si>
  <si>
    <t>Soay</t>
  </si>
  <si>
    <t>Handa</t>
  </si>
  <si>
    <t>Jura</t>
  </si>
  <si>
    <t>Isle Martin</t>
  </si>
  <si>
    <t>Colonsay</t>
  </si>
  <si>
    <t>Ulva</t>
  </si>
  <si>
    <t>Rona</t>
  </si>
  <si>
    <t>Holy Isle</t>
  </si>
  <si>
    <t>Scalpay</t>
  </si>
  <si>
    <t>Islay</t>
  </si>
  <si>
    <t>Seil</t>
  </si>
  <si>
    <t>Shuna Island</t>
  </si>
  <si>
    <t>Raasay</t>
  </si>
  <si>
    <t>Sanda</t>
  </si>
  <si>
    <t>Eigg</t>
  </si>
  <si>
    <t>Gigha and Carra</t>
  </si>
  <si>
    <t>Skye</t>
  </si>
  <si>
    <t>Cumbraes</t>
  </si>
  <si>
    <t>Shiant Isles</t>
  </si>
  <si>
    <t>Mull</t>
  </si>
  <si>
    <t>Bute</t>
  </si>
  <si>
    <t>Inchmarnock</t>
  </si>
  <si>
    <t>Aisla Craig</t>
  </si>
  <si>
    <t>Isle of Shuna</t>
  </si>
  <si>
    <t>Arran</t>
  </si>
  <si>
    <t>Easdale</t>
  </si>
  <si>
    <t>Group</t>
  </si>
  <si>
    <t>Argyll</t>
  </si>
  <si>
    <t>Highland</t>
  </si>
  <si>
    <t>Heterogeneity</t>
  </si>
  <si>
    <t>Area (m^2)</t>
  </si>
  <si>
    <t>Human Population</t>
  </si>
  <si>
    <t>Outer Hebrides</t>
  </si>
  <si>
    <t>Arran, Bute and Cumbraes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</si>
</sst>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tats/Data%20for%20R.xlsx" TargetMode="External"/><Relationship Id="rId2" Type="http://schemas.openxmlformats.org/officeDocument/2006/relationships/externalLinkPath" Target="https://universityofexeteruk-my.sharepoint.com/personal/bb484_exeter_ac_uk/Documents/Masters/2025-26%20Work/Research%20Project/Stats/Data%20for%20R.xlsx" TargetMode="External"/><Relationship Id="rId1" Type="http://schemas.openxmlformats.org/officeDocument/2006/relationships/externalLinkPath" Target="/personal/bb484_exeter_ac_uk/Documents/Masters/2025-26%20Work/Research%20Project/Stats/Data%20for%20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INNS Impacts"/>
      <sheetName val="Future Threat"/>
      <sheetName val="Current Threat"/>
      <sheetName val="For R"/>
      <sheetName val="Sheet1"/>
      <sheetName val="Habitat Areas"/>
      <sheetName val="Impact Score &amp; Confidence Graph"/>
      <sheetName val="Mechanism Graph"/>
      <sheetName val="Area Graph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2A60F-AE9C-490E-B222-CC167DE30EEF}" name="Table1" displayName="Table1" ref="A1:E43" totalsRowShown="0">
  <autoFilter ref="A1:E43" xr:uid="{C8D2A60F-AE9C-490E-B222-CC167DE30EEF}"/>
  <tableColumns count="5">
    <tableColumn id="1" xr3:uid="{C2F1EED2-1997-46CD-89A4-F67F532DC03F}" name="Island"/>
    <tableColumn id="2" xr3:uid="{8E727537-EEF4-40AD-B4DF-8E9BEFF8889E}" name="Human Population"/>
    <tableColumn id="3" xr3:uid="{23BBAFDB-A506-414B-9BC5-A19AB27BE077}" name="Group"/>
    <tableColumn id="4" xr3:uid="{5A02CF08-A6F3-48F9-8CA7-A07AB7551161}" name="Heterogeneity">
      <calculatedColumnFormula>VLOOKUP([1]!Table3[[#This Row],[Island]], [1]!Current[#Data], 24)</calculatedColumnFormula>
    </tableColumn>
    <tableColumn id="5" xr3:uid="{BD5FA1BE-A5CD-4D46-BCAD-842C1AB7C11E}" name="Area (m^2)">
      <calculatedColumnFormula>SUMIF([1]!Table9[NAME], [1]!Table3[[#This Row],[Island]], [1]!Table9[Area])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5ABE-B664-4E99-A2FA-3E8361112800}">
  <dimension ref="A1:E43"/>
  <sheetViews>
    <sheetView tabSelected="1" workbookViewId="0">
      <selection activeCell="G5" sqref="G5"/>
    </sheetView>
  </sheetViews>
  <sheetFormatPr defaultRowHeight="14.5" x14ac:dyDescent="0.35"/>
  <cols>
    <col min="1" max="1" width="35.90625" customWidth="1"/>
    <col min="2" max="2" width="19.1796875" customWidth="1"/>
    <col min="3" max="3" width="23.6328125" customWidth="1"/>
    <col min="4" max="4" width="17.54296875" customWidth="1"/>
    <col min="5" max="5" width="18.90625" customWidth="1"/>
  </cols>
  <sheetData>
    <row r="1" spans="1:5" x14ac:dyDescent="0.35">
      <c r="A1" t="s">
        <v>0</v>
      </c>
      <c r="B1" t="s">
        <v>48</v>
      </c>
      <c r="C1" t="s">
        <v>43</v>
      </c>
      <c r="D1" t="s">
        <v>46</v>
      </c>
      <c r="E1" t="s">
        <v>47</v>
      </c>
    </row>
    <row r="2" spans="1:5" x14ac:dyDescent="0.35">
      <c r="A2" t="s">
        <v>1</v>
      </c>
      <c r="B2">
        <f>SUM(1174+90)</f>
        <v>1264</v>
      </c>
      <c r="C2" t="s">
        <v>49</v>
      </c>
      <c r="D2">
        <f>VLOOKUP([1]!Table3[[#This Row],[Island]], [1]!Current[#Data], 24)</f>
        <v>5.2566954933892717E-3</v>
      </c>
      <c r="E2">
        <f>SUMIF([1]!Table9[NAME], [1]!Table3[[#This Row],[Island]], [1]!Table9[Area])</f>
        <v>89620722.05262889</v>
      </c>
    </row>
    <row r="3" spans="1:5" x14ac:dyDescent="0.35">
      <c r="A3" t="s">
        <v>2</v>
      </c>
      <c r="B3">
        <v>195</v>
      </c>
      <c r="C3" t="s">
        <v>44</v>
      </c>
      <c r="D3">
        <f>VLOOKUP([1]!Table3[[#This Row],[Island]], [1]!Current[#Data], 24)</f>
        <v>7.6257876427974925E-3</v>
      </c>
      <c r="E3">
        <f>SUMIF([1]!Table9[NAME], [1]!Table3[[#This Row],[Island]], [1]!Table9[Area])</f>
        <v>75311340.070594966</v>
      </c>
    </row>
    <row r="4" spans="1:5" x14ac:dyDescent="0.35">
      <c r="A4" t="s">
        <v>3</v>
      </c>
      <c r="B4">
        <v>653</v>
      </c>
      <c r="C4" t="s">
        <v>44</v>
      </c>
      <c r="D4">
        <f>VLOOKUP([1]!Table3[[#This Row],[Island]], [1]!Current[#Data], 24)</f>
        <v>1.045859262007931E-2</v>
      </c>
      <c r="E4">
        <f>SUMIF([1]!Table9[NAME], [1]!Table3[[#This Row],[Island]], [1]!Table9[Area])</f>
        <v>77721214.808784962</v>
      </c>
    </row>
    <row r="5" spans="1:5" x14ac:dyDescent="0.35">
      <c r="A5" t="s">
        <v>4</v>
      </c>
      <c r="B5">
        <v>177</v>
      </c>
      <c r="C5" t="s">
        <v>44</v>
      </c>
      <c r="D5">
        <f>VLOOKUP([1]!Table3[[#This Row],[Island]], [1]!Current[#Data], 24)</f>
        <v>1.3039308403594119E-2</v>
      </c>
      <c r="E5">
        <f>SUMIF([1]!Table9[NAME], [1]!Table3[[#This Row],[Island]], [1]!Table9[Area])</f>
        <v>8333592.7080691587</v>
      </c>
    </row>
    <row r="6" spans="1:5" x14ac:dyDescent="0.35">
      <c r="A6" t="s">
        <v>5</v>
      </c>
      <c r="B6">
        <v>0</v>
      </c>
      <c r="C6" t="s">
        <v>44</v>
      </c>
      <c r="D6">
        <f>VLOOKUP([1]!Table3[[#This Row],[Island]], [1]!Current[#Data], 24)</f>
        <v>1.4837980014471827E-2</v>
      </c>
      <c r="E6">
        <f>SUMIF([1]!Table9[NAME], [1]!Table3[[#This Row],[Island]], [1]!Table9[Area])</f>
        <v>2434111.6734218206</v>
      </c>
    </row>
    <row r="7" spans="1:5" x14ac:dyDescent="0.35">
      <c r="A7" t="s">
        <v>6</v>
      </c>
      <c r="B7">
        <v>4</v>
      </c>
      <c r="C7" t="s">
        <v>45</v>
      </c>
      <c r="D7">
        <f>VLOOKUP([1]!Table3[[#This Row],[Island]], [1]!Current[#Data], 24)</f>
        <v>2.3592692471979752E-2</v>
      </c>
      <c r="E7">
        <f>SUMIF([1]!Table9[NAME], [1]!Table3[[#This Row],[Island]], [1]!Table9[Area])</f>
        <v>7988710.1780755678</v>
      </c>
    </row>
    <row r="8" spans="1:5" x14ac:dyDescent="0.35">
      <c r="A8" t="s">
        <v>7</v>
      </c>
      <c r="B8">
        <v>21</v>
      </c>
      <c r="C8" t="s">
        <v>45</v>
      </c>
      <c r="D8">
        <f>VLOOKUP([1]!Table3[[#This Row],[Island]], [1]!Current[#Data], 24)</f>
        <v>2.872500867291785E-2</v>
      </c>
      <c r="E8">
        <f>SUMIF([1]!Table9[NAME], [1]!Table3[[#This Row],[Island]], [1]!Table9[Area])</f>
        <v>13024312.800880257</v>
      </c>
    </row>
    <row r="9" spans="1:5" x14ac:dyDescent="0.35">
      <c r="A9" t="s">
        <v>8</v>
      </c>
      <c r="B9">
        <v>34</v>
      </c>
      <c r="C9" t="s">
        <v>44</v>
      </c>
      <c r="D9">
        <f>VLOOKUP([1]!Table3[[#This Row],[Island]], [1]!Current[#Data], 24)</f>
        <v>3.2167491273173136E-2</v>
      </c>
      <c r="E9">
        <f>SUMIF([1]!Table9[NAME], [1]!Table3[[#This Row],[Island]], [1]!Table9[Area])</f>
        <v>12121455.79634572</v>
      </c>
    </row>
    <row r="10" spans="1:5" x14ac:dyDescent="0.35">
      <c r="A10" t="s">
        <v>9</v>
      </c>
      <c r="B10">
        <f>SUM(1502+3064)</f>
        <v>4566</v>
      </c>
      <c r="C10" t="s">
        <v>49</v>
      </c>
      <c r="D10">
        <f>VLOOKUP([1]!Table3[[#This Row],[Island]], [1]!Current[#Data], 24)</f>
        <v>4.0610446934267741E-2</v>
      </c>
      <c r="E10">
        <f>SUMIF([1]!Table9[NAME], [1]!Table3[[#This Row],[Island]], [1]!Table9[Area])</f>
        <v>735952815.12534046</v>
      </c>
    </row>
    <row r="11" spans="1:5" x14ac:dyDescent="0.35">
      <c r="A11" t="s">
        <v>10</v>
      </c>
      <c r="B11">
        <f>SUM(21031+291)</f>
        <v>21322</v>
      </c>
      <c r="C11" t="s">
        <v>49</v>
      </c>
      <c r="D11">
        <f>VLOOKUP([1]!Table3[[#This Row],[Island]], [1]!Current[#Data], 24)</f>
        <v>4.1932710069903026E-2</v>
      </c>
      <c r="E11">
        <f>SUMIF([1]!Table9[NAME], [1]!Table3[[#This Row],[Island]], [1]!Table9[Area])</f>
        <v>2202047858.2371564</v>
      </c>
    </row>
    <row r="12" spans="1:5" x14ac:dyDescent="0.35">
      <c r="A12" t="s">
        <v>11</v>
      </c>
      <c r="B12">
        <v>15</v>
      </c>
      <c r="C12" t="s">
        <v>49</v>
      </c>
      <c r="D12">
        <f>VLOOKUP([1]!Table3[[#This Row],[Island]], [1]!Current[#Data], 24)</f>
        <v>4.5044849525916197E-2</v>
      </c>
      <c r="E12">
        <f>SUMIF([1]!Table9[NAME], [1]!Table3[[#This Row],[Island]], [1]!Table9[Area])</f>
        <v>6827936.7882794105</v>
      </c>
    </row>
    <row r="13" spans="1:5" x14ac:dyDescent="0.35">
      <c r="A13" t="s">
        <v>12</v>
      </c>
      <c r="B13">
        <v>130</v>
      </c>
      <c r="C13" t="s">
        <v>45</v>
      </c>
      <c r="D13">
        <f>VLOOKUP([1]!Table3[[#This Row],[Island]], [1]!Current[#Data], 24)</f>
        <v>4.6325956427225964E-2</v>
      </c>
      <c r="E13">
        <f>SUMIF([1]!Table9[NAME], [1]!Table3[[#This Row],[Island]], [1]!Table9[Area])</f>
        <v>5330344.8902909951</v>
      </c>
    </row>
    <row r="14" spans="1:5" x14ac:dyDescent="0.35">
      <c r="A14" t="s">
        <v>13</v>
      </c>
      <c r="B14">
        <v>195</v>
      </c>
      <c r="C14" t="s">
        <v>44</v>
      </c>
      <c r="D14">
        <f>VLOOKUP([1]!Table3[[#This Row],[Island]], [1]!Current[#Data], 24)</f>
        <v>5.5551785768806865E-2</v>
      </c>
      <c r="E14">
        <f>SUMIF([1]!Table9[NAME], [1]!Table3[[#This Row],[Island]], [1]!Table9[Area])</f>
        <v>15475627.231284454</v>
      </c>
    </row>
    <row r="15" spans="1:5" x14ac:dyDescent="0.35">
      <c r="A15" t="s">
        <v>14</v>
      </c>
      <c r="B15">
        <v>22</v>
      </c>
      <c r="C15" t="s">
        <v>45</v>
      </c>
      <c r="D15">
        <f>VLOOKUP([1]!Table3[[#This Row],[Island]], [1]!Current[#Data], 24)</f>
        <v>7.6584568176980033E-2</v>
      </c>
      <c r="E15">
        <f>SUMIF([1]!Table9[NAME], [1]!Table3[[#This Row],[Island]], [1]!Table9[Area])</f>
        <v>107070547.2203421</v>
      </c>
    </row>
    <row r="16" spans="1:5" x14ac:dyDescent="0.35">
      <c r="A16" t="s">
        <v>15</v>
      </c>
      <c r="B16">
        <v>192</v>
      </c>
      <c r="C16" t="s">
        <v>44</v>
      </c>
      <c r="D16">
        <f>VLOOKUP([1]!Table3[[#This Row],[Island]], [1]!Current[#Data], 24)</f>
        <v>8.9248611738959149E-2</v>
      </c>
      <c r="E16">
        <f>SUMIF([1]!Table9[NAME], [1]!Table3[[#This Row],[Island]], [1]!Table9[Area])</f>
        <v>22758080.798336066</v>
      </c>
    </row>
    <row r="17" spans="1:5" x14ac:dyDescent="0.35">
      <c r="A17" t="s">
        <v>16</v>
      </c>
      <c r="B17">
        <v>0</v>
      </c>
      <c r="C17" t="s">
        <v>44</v>
      </c>
      <c r="D17">
        <f>VLOOKUP([1]!Table3[[#This Row],[Island]], [1]!Current[#Data], 24)</f>
        <v>0.10182335024258983</v>
      </c>
      <c r="E17">
        <f>SUMIF([1]!Table9[NAME], [1]!Table3[[#This Row],[Island]], [1]!Table9[Area])</f>
        <v>13785884.634133002</v>
      </c>
    </row>
    <row r="18" spans="1:5" x14ac:dyDescent="0.35">
      <c r="A18" t="s">
        <v>17</v>
      </c>
      <c r="B18">
        <v>1</v>
      </c>
      <c r="C18" t="s">
        <v>45</v>
      </c>
      <c r="D18">
        <f>VLOOKUP([1]!Table3[[#This Row],[Island]], [1]!Current[#Data], 24)</f>
        <v>0.107226591103339</v>
      </c>
      <c r="E18">
        <f>SUMIF([1]!Table9[NAME], [1]!Table3[[#This Row],[Island]], [1]!Table9[Area])</f>
        <v>10054428.232562605</v>
      </c>
    </row>
    <row r="19" spans="1:5" x14ac:dyDescent="0.35">
      <c r="A19" t="s">
        <v>18</v>
      </c>
      <c r="B19">
        <v>0</v>
      </c>
      <c r="C19" t="s">
        <v>45</v>
      </c>
      <c r="D19">
        <f>VLOOKUP([1]!Table3[[#This Row],[Island]], [1]!Current[#Data], 24)</f>
        <v>0.11061736758918089</v>
      </c>
      <c r="E19">
        <f>SUMIF([1]!Table9[NAME], [1]!Table3[[#This Row],[Island]], [1]!Table9[Area])</f>
        <v>2993696.4504846581</v>
      </c>
    </row>
    <row r="20" spans="1:5" x14ac:dyDescent="0.35">
      <c r="A20" t="s">
        <v>19</v>
      </c>
      <c r="B20">
        <v>196</v>
      </c>
      <c r="C20" t="s">
        <v>44</v>
      </c>
      <c r="D20">
        <f>VLOOKUP([1]!Table3[[#This Row],[Island]], [1]!Current[#Data], 24)</f>
        <v>0.11103220238286624</v>
      </c>
      <c r="E20">
        <f>SUMIF([1]!Table9[NAME], [1]!Table3[[#This Row],[Island]], [1]!Table9[Area])</f>
        <v>360691052.58249128</v>
      </c>
    </row>
    <row r="21" spans="1:5" x14ac:dyDescent="0.35">
      <c r="A21" t="s">
        <v>20</v>
      </c>
      <c r="B21">
        <v>0</v>
      </c>
      <c r="C21" t="s">
        <v>45</v>
      </c>
      <c r="D21">
        <f>VLOOKUP([1]!Table3[[#This Row],[Island]], [1]!Current[#Data], 24)</f>
        <v>0.12010600842226381</v>
      </c>
      <c r="E21">
        <f>SUMIF([1]!Table9[NAME], [1]!Table3[[#This Row],[Island]], [1]!Table9[Area])</f>
        <v>1597332.0609332307</v>
      </c>
    </row>
    <row r="22" spans="1:5" x14ac:dyDescent="0.35">
      <c r="A22" t="s">
        <v>21</v>
      </c>
      <c r="B22">
        <v>132</v>
      </c>
      <c r="C22" t="s">
        <v>44</v>
      </c>
      <c r="D22">
        <f>VLOOKUP([1]!Table3[[#This Row],[Island]], [1]!Current[#Data], 24)</f>
        <v>0.13329092298892309</v>
      </c>
      <c r="E22">
        <f>SUMIF([1]!Table9[NAME], [1]!Table3[[#This Row],[Island]], [1]!Table9[Area])</f>
        <v>45231898.73860836</v>
      </c>
    </row>
    <row r="23" spans="1:5" x14ac:dyDescent="0.35">
      <c r="A23" t="s">
        <v>22</v>
      </c>
      <c r="B23">
        <v>13</v>
      </c>
      <c r="C23" t="s">
        <v>44</v>
      </c>
      <c r="D23">
        <f>VLOOKUP([1]!Table3[[#This Row],[Island]], [1]!Current[#Data], 24)</f>
        <v>0.13333879162151657</v>
      </c>
      <c r="E23">
        <f>SUMIF([1]!Table9[NAME], [1]!Table3[[#This Row],[Island]], [1]!Table9[Area])</f>
        <v>23873071.517111488</v>
      </c>
    </row>
    <row r="24" spans="1:5" x14ac:dyDescent="0.35">
      <c r="A24" t="s">
        <v>23</v>
      </c>
      <c r="B24">
        <v>3</v>
      </c>
      <c r="C24" t="s">
        <v>45</v>
      </c>
      <c r="D24">
        <f>VLOOKUP([1]!Table3[[#This Row],[Island]], [1]!Current[#Data], 24)</f>
        <v>0.16342479886598493</v>
      </c>
      <c r="E24">
        <f>SUMIF([1]!Table9[NAME], [1]!Table3[[#This Row],[Island]], [1]!Table9[Area])</f>
        <v>9831435.5954650734</v>
      </c>
    </row>
    <row r="25" spans="1:5" x14ac:dyDescent="0.35">
      <c r="A25" t="s">
        <v>24</v>
      </c>
      <c r="B25">
        <v>31</v>
      </c>
      <c r="C25" t="s">
        <v>50</v>
      </c>
      <c r="D25">
        <f>VLOOKUP([1]!Table3[[#This Row],[Island]], [1]!Current[#Data], 24)</f>
        <v>0.17736055097957645</v>
      </c>
      <c r="E25">
        <f>SUMIF([1]!Table9[NAME], [1]!Table3[[#This Row],[Island]], [1]!Table9[Area])</f>
        <v>2428651.2429469354</v>
      </c>
    </row>
    <row r="26" spans="1:5" x14ac:dyDescent="0.35">
      <c r="A26" t="s">
        <v>25</v>
      </c>
      <c r="B26">
        <v>4</v>
      </c>
      <c r="C26" t="s">
        <v>45</v>
      </c>
      <c r="D26">
        <f>VLOOKUP([1]!Table3[[#This Row],[Island]], [1]!Current[#Data], 24)</f>
        <v>0.18773130840537894</v>
      </c>
      <c r="E26">
        <f>SUMIF([1]!Table9[NAME], [1]!Table3[[#This Row],[Island]], [1]!Table9[Area])</f>
        <v>24571965.396184321</v>
      </c>
    </row>
    <row r="27" spans="1:5" x14ac:dyDescent="0.35">
      <c r="A27" t="s">
        <v>26</v>
      </c>
      <c r="B27">
        <v>3228</v>
      </c>
      <c r="C27" t="s">
        <v>44</v>
      </c>
      <c r="D27">
        <f>VLOOKUP([1]!Table3[[#This Row],[Island]], [1]!Current[#Data], 24)</f>
        <v>0.19445187800648259</v>
      </c>
      <c r="E27">
        <f>SUMIF([1]!Table9[NAME], [1]!Table3[[#This Row],[Island]], [1]!Table9[Area])</f>
        <v>614787320.04326248</v>
      </c>
    </row>
    <row r="28" spans="1:5" x14ac:dyDescent="0.35">
      <c r="A28" t="s">
        <v>27</v>
      </c>
      <c r="B28">
        <v>551</v>
      </c>
      <c r="C28" t="s">
        <v>44</v>
      </c>
      <c r="D28">
        <f>VLOOKUP([1]!Table3[[#This Row],[Island]], [1]!Current[#Data], 24)</f>
        <v>0.20269949462229844</v>
      </c>
      <c r="E28">
        <f>SUMIF([1]!Table9[NAME], [1]!Table3[[#This Row],[Island]], [1]!Table9[Area])</f>
        <v>13528943.518752165</v>
      </c>
    </row>
    <row r="29" spans="1:5" x14ac:dyDescent="0.35">
      <c r="A29" t="s">
        <v>28</v>
      </c>
      <c r="B29">
        <v>0</v>
      </c>
      <c r="C29" t="s">
        <v>44</v>
      </c>
      <c r="D29">
        <f>VLOOKUP([1]!Table3[[#This Row],[Island]], [1]!Current[#Data], 24)</f>
        <v>0.21699429698561049</v>
      </c>
      <c r="E29">
        <f>SUMIF([1]!Table9[NAME], [1]!Table3[[#This Row],[Island]], [1]!Table9[Area])</f>
        <v>1567906.4579853581</v>
      </c>
    </row>
    <row r="30" spans="1:5" x14ac:dyDescent="0.35">
      <c r="A30" t="s">
        <v>29</v>
      </c>
      <c r="B30">
        <v>161</v>
      </c>
      <c r="C30" t="s">
        <v>45</v>
      </c>
      <c r="D30">
        <f>VLOOKUP([1]!Table3[[#This Row],[Island]], [1]!Current[#Data], 24)</f>
        <v>0.21879591071095369</v>
      </c>
      <c r="E30">
        <f>SUMIF([1]!Table9[NAME], [1]!Table3[[#This Row],[Island]], [1]!Table9[Area])</f>
        <v>62881700.025161386</v>
      </c>
    </row>
    <row r="31" spans="1:5" x14ac:dyDescent="0.35">
      <c r="A31" t="s">
        <v>30</v>
      </c>
      <c r="B31">
        <v>0</v>
      </c>
      <c r="C31" t="s">
        <v>50</v>
      </c>
      <c r="D31">
        <f>VLOOKUP([1]!Table3[[#This Row],[Island]], [1]!Current[#Data], 24)</f>
        <v>0.22052704517988839</v>
      </c>
      <c r="E31">
        <f>SUMIF([1]!Table9[NAME], [1]!Table3[[#This Row],[Island]], [1]!Table9[Area])</f>
        <v>1526067.9410637335</v>
      </c>
    </row>
    <row r="32" spans="1:5" x14ac:dyDescent="0.35">
      <c r="A32" t="s">
        <v>31</v>
      </c>
      <c r="B32">
        <v>83</v>
      </c>
      <c r="C32" t="s">
        <v>45</v>
      </c>
      <c r="D32">
        <f>VLOOKUP([1]!Table3[[#This Row],[Island]], [1]!Current[#Data], 24)</f>
        <v>0.22232606807990071</v>
      </c>
      <c r="E32">
        <f>SUMIF([1]!Table9[NAME], [1]!Table3[[#This Row],[Island]], [1]!Table9[Area])</f>
        <v>29815807.483846083</v>
      </c>
    </row>
    <row r="33" spans="1:5" x14ac:dyDescent="0.35">
      <c r="A33" t="s">
        <v>32</v>
      </c>
      <c r="B33">
        <f>SUM(163)</f>
        <v>163</v>
      </c>
      <c r="C33" t="s">
        <v>44</v>
      </c>
      <c r="D33">
        <f>VLOOKUP([1]!Table3[[#This Row],[Island]], [1]!Current[#Data], 24)</f>
        <v>0.22895366034646089</v>
      </c>
      <c r="E33">
        <f>SUMIF([1]!Table9[NAME], [1]!Table3[[#This Row],[Island]], [1]!Table9[Area])</f>
        <v>14677521.025210219</v>
      </c>
    </row>
    <row r="34" spans="1:5" x14ac:dyDescent="0.35">
      <c r="A34" t="s">
        <v>33</v>
      </c>
      <c r="B34">
        <v>10008</v>
      </c>
      <c r="C34" t="s">
        <v>45</v>
      </c>
      <c r="D34">
        <f>VLOOKUP([1]!Table3[[#This Row],[Island]], [1]!Current[#Data], 24)</f>
        <v>0.2418903277784914</v>
      </c>
      <c r="E34">
        <f>SUMIF([1]!Table9[NAME], [1]!Table3[[#This Row],[Island]], [1]!Table9[Area])</f>
        <v>1632972009.7339392</v>
      </c>
    </row>
    <row r="35" spans="1:5" x14ac:dyDescent="0.35">
      <c r="A35" t="s">
        <v>34</v>
      </c>
      <c r="B35">
        <v>1376</v>
      </c>
      <c r="C35" t="s">
        <v>50</v>
      </c>
      <c r="D35">
        <f>VLOOKUP([1]!Table3[[#This Row],[Island]], [1]!Current[#Data], 24)</f>
        <v>0.27422618652960823</v>
      </c>
      <c r="E35">
        <f>SUMIF([1]!Table9[NAME], [1]!Table3[[#This Row],[Island]], [1]!Table9[Area])</f>
        <v>13271001.205635991</v>
      </c>
    </row>
    <row r="36" spans="1:5" x14ac:dyDescent="0.35">
      <c r="A36" t="s">
        <v>35</v>
      </c>
      <c r="B36">
        <v>0</v>
      </c>
      <c r="C36" t="s">
        <v>49</v>
      </c>
      <c r="D36">
        <f>VLOOKUP([1]!Table3[[#This Row],[Island]], [1]!Current[#Data], 24)</f>
        <v>0.28545676242257695</v>
      </c>
      <c r="E36">
        <f>SUMIF([1]!Table9[NAME], [1]!Table3[[#This Row],[Island]], [1]!Table9[Area])</f>
        <v>1680173.5759688276</v>
      </c>
    </row>
    <row r="37" spans="1:5" x14ac:dyDescent="0.35">
      <c r="A37" t="s">
        <v>36</v>
      </c>
      <c r="B37">
        <v>2806</v>
      </c>
      <c r="C37" t="s">
        <v>44</v>
      </c>
      <c r="D37">
        <f>VLOOKUP([1]!Table3[[#This Row],[Island]], [1]!Current[#Data], 24)</f>
        <v>0.30487598999629462</v>
      </c>
      <c r="E37">
        <f>SUMIF([1]!Table9[NAME], [1]!Table3[[#This Row],[Island]], [1]!Table9[Area])</f>
        <v>889667257.59430254</v>
      </c>
    </row>
    <row r="38" spans="1:5" x14ac:dyDescent="0.35">
      <c r="A38" t="s">
        <v>37</v>
      </c>
      <c r="B38">
        <v>6498</v>
      </c>
      <c r="C38" t="s">
        <v>50</v>
      </c>
      <c r="D38">
        <f>VLOOKUP([1]!Table3[[#This Row],[Island]], [1]!Current[#Data], 24)</f>
        <v>0.30983469568586752</v>
      </c>
      <c r="E38">
        <f>SUMIF([1]!Table9[NAME], [1]!Table3[[#This Row],[Island]], [1]!Table9[Area])</f>
        <v>118281459.29194343</v>
      </c>
    </row>
    <row r="39" spans="1:5" x14ac:dyDescent="0.35">
      <c r="A39" t="s">
        <v>38</v>
      </c>
      <c r="B39">
        <v>0</v>
      </c>
      <c r="C39" t="s">
        <v>50</v>
      </c>
      <c r="D39">
        <f>VLOOKUP([1]!Table3[[#This Row],[Island]], [1]!Current[#Data], 24)</f>
        <v>0.32046941993934258</v>
      </c>
      <c r="E39">
        <f>SUMIF([1]!Table9[NAME], [1]!Table3[[#This Row],[Island]], [1]!Table9[Area])</f>
        <v>2393046.0562764243</v>
      </c>
    </row>
    <row r="40" spans="1:5" x14ac:dyDescent="0.35">
      <c r="A40" t="s">
        <v>39</v>
      </c>
      <c r="B40">
        <v>0</v>
      </c>
      <c r="C40" t="s">
        <v>50</v>
      </c>
      <c r="D40">
        <f>VLOOKUP([1]!Table3[[#This Row],[Island]], [1]!Current[#Data], 24)</f>
        <v>0.34292997245545115</v>
      </c>
      <c r="E40">
        <f>SUMIF([1]!Table9[NAME], [1]!Table3[[#This Row],[Island]], [1]!Table9[Area])</f>
        <v>840879.57603481633</v>
      </c>
    </row>
    <row r="41" spans="1:5" x14ac:dyDescent="0.35">
      <c r="A41" t="s">
        <v>40</v>
      </c>
      <c r="B41">
        <v>3</v>
      </c>
      <c r="C41" t="s">
        <v>44</v>
      </c>
      <c r="D41">
        <f>VLOOKUP([1]!Table3[[#This Row],[Island]], [1]!Current[#Data], 24)</f>
        <v>0.34641578503768911</v>
      </c>
      <c r="E41">
        <f>SUMIF([1]!Table9[NAME], [1]!Table3[[#This Row],[Island]], [1]!Table9[Area])</f>
        <v>4478090.0090610804</v>
      </c>
    </row>
    <row r="42" spans="1:5" x14ac:dyDescent="0.35">
      <c r="A42" t="s">
        <v>41</v>
      </c>
      <c r="B42">
        <v>4629</v>
      </c>
      <c r="C42" t="s">
        <v>50</v>
      </c>
      <c r="D42">
        <f>VLOOKUP([1]!Table3[[#This Row],[Island]], [1]!Current[#Data], 24)</f>
        <v>0.34776854208603564</v>
      </c>
      <c r="E42">
        <f>SUMIF([1]!Table9[NAME], [1]!Table3[[#This Row],[Island]], [1]!Table9[Area])</f>
        <v>424757923.72432274</v>
      </c>
    </row>
    <row r="43" spans="1:5" x14ac:dyDescent="0.35">
      <c r="A43" t="s">
        <v>42</v>
      </c>
      <c r="B43">
        <v>59</v>
      </c>
      <c r="C43" t="s">
        <v>44</v>
      </c>
      <c r="D43">
        <f>VLOOKUP([1]!Table3[[#This Row],[Island]], [1]!Current[#Data], 24)</f>
        <v>0.36627202313683693</v>
      </c>
      <c r="E43">
        <f>SUMIF([1]!Table9[NAME], [1]!Table3[[#This Row],[Island]], [1]!Table9[Area])</f>
        <v>147510.37154114107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Ben</dc:creator>
  <cp:lastModifiedBy>Brown, Ben</cp:lastModifiedBy>
  <dcterms:created xsi:type="dcterms:W3CDTF">2026-08-27T11:43:36Z</dcterms:created>
  <dcterms:modified xsi:type="dcterms:W3CDTF">2026-08-27T11:46:29Z</dcterms:modified>
</cp:coreProperties>
</file>